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can be TMEM16AxPax2-GCaMP OR Pax2-GCaMP (please use exact character match for python purposes)
	-Francesca De Faveri</t>
        </r>
      </text>
    </comment>
  </commentList>
</comments>
</file>

<file path=xl/sharedStrings.xml><?xml version="1.0" encoding="utf-8"?>
<sst xmlns="http://schemas.openxmlformats.org/spreadsheetml/2006/main" count="38" uniqueCount="37">
  <si>
    <t xml:space="preserve">Date</t>
  </si>
  <si>
    <t xml:space="preserve">Mouse ID</t>
  </si>
  <si>
    <t xml:space="preserve">Strain</t>
  </si>
  <si>
    <t xml:space="preserve">Age</t>
  </si>
  <si>
    <t xml:space="preserve">Folder</t>
  </si>
  <si>
    <t xml:space="preserve">Independent recordings number</t>
  </si>
  <si>
    <t xml:space="preserve">Number in sequence</t>
  </si>
  <si>
    <t xml:space="preserve">Setup</t>
  </si>
  <si>
    <t xml:space="preserve">Objective</t>
  </si>
  <si>
    <t xml:space="preserve">Pixel height</t>
  </si>
  <si>
    <t xml:space="preserve">Pixel width</t>
  </si>
  <si>
    <t xml:space="preserve">um width</t>
  </si>
  <si>
    <t xml:space="preserve">um/pixel</t>
  </si>
  <si>
    <t xml:space="preserve">fps</t>
  </si>
  <si>
    <t xml:space="preserve">frames</t>
  </si>
  <si>
    <t xml:space="preserve">seconds</t>
  </si>
  <si>
    <t xml:space="preserve">first-last</t>
  </si>
  <si>
    <t xml:space="preserve">f0Frames</t>
  </si>
  <si>
    <t xml:space="preserve">discard</t>
  </si>
  <si>
    <t xml:space="preserve">notes</t>
  </si>
  <si>
    <t xml:space="preserve">nChannels</t>
  </si>
  <si>
    <t xml:space="preserve">SpatialGaussian</t>
  </si>
  <si>
    <t xml:space="preserve">TemporalGaussian</t>
  </si>
  <si>
    <t xml:space="preserve">IHC expression</t>
  </si>
  <si>
    <t xml:space="preserve">use jc for ca wave</t>
  </si>
  <si>
    <t xml:space="preserve">background frame</t>
  </si>
  <si>
    <t xml:space="preserve">KO efficiency</t>
  </si>
  <si>
    <t xml:space="preserve">jc for ihc trace</t>
  </si>
  <si>
    <t xml:space="preserve">discard for ihc roi</t>
  </si>
  <si>
    <t xml:space="preserve">2025.11.4</t>
  </si>
  <si>
    <t xml:space="preserve">TMEM16AxPax2xGCaMP6f</t>
  </si>
  <si>
    <t xml:space="preserve">Z:\Users\Char\2PI Data\2025\2025_11_04_TMEM16A-Pax2Cre-GCaMP6f_PHPebMyo15CreRGECO AAV_in vivo_P8_Tattoo 1\1_001</t>
  </si>
  <si>
    <t xml:space="preserve">16x</t>
  </si>
  <si>
    <t xml:space="preserve">2026.02.04</t>
  </si>
  <si>
    <t xml:space="preserve">Shaker1_1</t>
  </si>
  <si>
    <t xml:space="preserve">Shaker1</t>
  </si>
  <si>
    <t xml:space="preserve">Z:\Users\Elli\data\in vivo\20260204_shaker1_1-3_AAVGCamp8m_P9\1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</si>
</sst>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5" activeCellId="0" sqref="C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52"/>
    <col collapsed="false" customWidth="true" hidden="false" outlineLevel="0" max="2" min="2" style="1" width="9.2"/>
    <col collapsed="false" customWidth="true" hidden="false" outlineLevel="0" max="3" min="3" style="1" width="22.95"/>
    <col collapsed="false" customWidth="true" hidden="false" outlineLevel="0" max="4" min="4" style="1" width="4.79"/>
    <col collapsed="false" customWidth="true" hidden="false" outlineLevel="0" max="5" min="5" style="1" width="106.58"/>
    <col collapsed="false" customWidth="true" hidden="false" outlineLevel="0" max="6" min="6" style="1" width="27.2"/>
    <col collapsed="false" customWidth="true" hidden="false" outlineLevel="0" max="7" min="7" style="1" width="18.2"/>
    <col collapsed="false" customWidth="true" hidden="false" outlineLevel="0" max="8" min="8" style="1" width="6.25"/>
    <col collapsed="false" customWidth="true" hidden="false" outlineLevel="0" max="9" min="9" style="1" width="9.2"/>
    <col collapsed="false" customWidth="true" hidden="false" outlineLevel="0" max="10" min="10" style="1" width="11"/>
    <col collapsed="false" customWidth="true" hidden="false" outlineLevel="0" max="11" min="11" style="1" width="10.51"/>
    <col collapsed="false" customWidth="true" hidden="false" outlineLevel="0" max="12" min="12" style="1" width="9.36"/>
    <col collapsed="false" customWidth="true" hidden="false" outlineLevel="0" max="13" min="13" style="1" width="12.96"/>
    <col collapsed="false" customWidth="true" hidden="false" outlineLevel="0" max="14" min="14" style="1" width="7.07"/>
    <col collapsed="false" customWidth="true" hidden="false" outlineLevel="0" max="15" min="15" style="1" width="7.4"/>
    <col collapsed="false" customWidth="true" hidden="false" outlineLevel="0" max="16" min="16" style="1" width="16.89"/>
    <col collapsed="false" customWidth="true" hidden="false" outlineLevel="0" max="17" min="17" style="1" width="8.38"/>
    <col collapsed="false" customWidth="true" hidden="false" outlineLevel="0" max="18" min="18" style="1" width="9.36"/>
    <col collapsed="false" customWidth="true" hidden="false" outlineLevel="0" max="19" min="19" style="1" width="7.4"/>
    <col collapsed="false" customWidth="true" hidden="false" outlineLevel="0" max="20" min="20" style="1" width="6.09"/>
    <col collapsed="false" customWidth="true" hidden="false" outlineLevel="0" max="21" min="21" style="1" width="9.86"/>
    <col collapsed="false" customWidth="true" hidden="false" outlineLevel="0" max="22" min="22" style="1" width="14.6"/>
    <col collapsed="false" customWidth="true" hidden="false" outlineLevel="0" max="23" min="23" style="1" width="16.73"/>
    <col collapsed="false" customWidth="true" hidden="false" outlineLevel="0" max="24" min="24" style="1" width="13.29"/>
    <col collapsed="false" customWidth="true" hidden="false" outlineLevel="0" max="25" min="25" style="1" width="16.07"/>
    <col collapsed="false" customWidth="true" hidden="false" outlineLevel="0" max="26" min="26" style="1" width="16.24"/>
    <col collapsed="false" customWidth="true" hidden="false" outlineLevel="0" max="27" min="27" style="1" width="11.98"/>
    <col collapsed="false" customWidth="true" hidden="false" outlineLevel="0" max="28" min="28" style="1" width="13.13"/>
    <col collapsed="false" customWidth="true" hidden="false" outlineLevel="0" max="29" min="29" style="1" width="15.58"/>
    <col collapsed="false" customWidth="true" hidden="false" outlineLevel="0" max="30" min="30" style="1" width="11.53"/>
  </cols>
  <sheetData>
    <row r="1" s="6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15" hidden="false" customHeight="false" outlineLevel="0" collapsed="false">
      <c r="A2" s="1" t="s">
        <v>29</v>
      </c>
      <c r="B2" s="1" t="n">
        <v>37</v>
      </c>
      <c r="C2" s="1" t="s">
        <v>30</v>
      </c>
      <c r="D2" s="1" t="n">
        <v>8</v>
      </c>
      <c r="E2" s="1" t="s">
        <v>31</v>
      </c>
      <c r="F2" s="1" t="n">
        <v>1</v>
      </c>
      <c r="G2" s="1" t="n">
        <v>1</v>
      </c>
      <c r="H2" s="1" t="n">
        <v>1</v>
      </c>
      <c r="I2" s="1" t="s">
        <v>32</v>
      </c>
      <c r="J2" s="1" t="n">
        <v>416</v>
      </c>
      <c r="K2" s="1" t="n">
        <v>1024</v>
      </c>
      <c r="L2" s="1" t="n">
        <v>235.88</v>
      </c>
      <c r="M2" s="1" t="n">
        <f aca="false">L2/K2</f>
        <v>0.2303515625</v>
      </c>
      <c r="N2" s="1" t="n">
        <v>18.884</v>
      </c>
      <c r="O2" s="1" t="n">
        <v>6965</v>
      </c>
      <c r="P2" s="1" t="n">
        <f aca="false">O2/N2</f>
        <v>368.830756195721</v>
      </c>
      <c r="U2" s="1" t="n">
        <v>2</v>
      </c>
      <c r="V2" s="1" t="n">
        <v>2</v>
      </c>
      <c r="W2" s="1" t="n">
        <v>2</v>
      </c>
    </row>
    <row r="3" customFormat="false" ht="15" hidden="false" customHeight="false" outlineLevel="0" collapsed="false">
      <c r="A3" s="1" t="s">
        <v>33</v>
      </c>
      <c r="B3" s="1" t="s">
        <v>34</v>
      </c>
      <c r="C3" s="1" t="s">
        <v>35</v>
      </c>
      <c r="D3" s="1" t="n">
        <v>9</v>
      </c>
      <c r="E3" s="1" t="s">
        <v>36</v>
      </c>
      <c r="F3" s="1" t="n">
        <v>1</v>
      </c>
      <c r="G3" s="1" t="n">
        <v>1</v>
      </c>
      <c r="H3" s="1" t="n">
        <v>1</v>
      </c>
      <c r="I3" s="1" t="s">
        <v>32</v>
      </c>
      <c r="J3" s="1" t="n">
        <v>320</v>
      </c>
      <c r="K3" s="1" t="n">
        <v>1024</v>
      </c>
      <c r="L3" s="1" t="n">
        <v>235.88</v>
      </c>
      <c r="M3" s="1" t="n">
        <f aca="false">L3/K3</f>
        <v>0.2303515625</v>
      </c>
      <c r="N3" s="1" t="n">
        <v>24.48</v>
      </c>
      <c r="O3" s="1" t="n">
        <v>8688</v>
      </c>
      <c r="P3" s="1" t="n">
        <f aca="false">O3/N3</f>
        <v>354.901960784314</v>
      </c>
      <c r="U3" s="1" t="n">
        <v>1</v>
      </c>
      <c r="V3" s="1" t="n">
        <v>2</v>
      </c>
      <c r="W3" s="1" t="n">
        <v>2</v>
      </c>
    </row>
    <row r="4" customFormat="false" ht="15" hidden="false" customHeight="false" outlineLevel="0" collapsed="false">
      <c r="I4" s="0"/>
      <c r="J4" s="0"/>
      <c r="K4" s="0"/>
      <c r="L4" s="0"/>
      <c r="M4" s="0"/>
      <c r="N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en-GB</dc:language>
  <cp:lastModifiedBy/>
  <dcterms:modified xsi:type="dcterms:W3CDTF">2026-02-06T15:09:30Z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